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hber" sheetId="1" state="visible" r:id="rId3"/>
    <sheet name="Maç" sheetId="2" state="visible" r:id="rId4"/>
    <sheet name="Ekonomi" sheetId="3" state="visible" r:id="rId5"/>
    <sheet name="Birlikler" sheetId="4" state="visible" r:id="rId6"/>
    <sheet name="Karşılıklar" sheetId="5" state="visible" r:id="rId7"/>
    <sheet name="Binalar" sheetId="6" state="visible" r:id="rId8"/>
    <sheet name="Faz 2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5" authorId="0">
      <text>
        <r>
          <rPr>
            <sz val="10"/>
            <rFont val="Arial"/>
            <family val="2"/>
          </rPr>
          <t xml:space="preserve">Demir, odun karşılığına çevrilir (Ekonomi!B17). Yemek de çiftçi/oduncu hız oranıyla odun karşılığına çevrilir.</t>
        </r>
      </text>
    </comment>
  </commentList>
</comments>
</file>

<file path=xl/sharedStrings.xml><?xml version="1.0" encoding="utf-8"?>
<sst xmlns="http://schemas.openxmlformats.org/spreadsheetml/2006/main" count="282" uniqueCount="211">
  <si>
    <t xml:space="preserve">Kale Oyunu — Başlangıç Sayıları (v0.1)</t>
  </si>
  <si>
    <t xml:space="preserve">Bu tablo ne?</t>
  </si>
  <si>
    <t xml:space="preserve">İlk prototip için başlangıç değerleri. Kesin değil; savaş simülatörü ve ilk testler bu sayıları değiştirecek.</t>
  </si>
  <si>
    <t xml:space="preserve">Mavi yazı</t>
  </si>
  <si>
    <t xml:space="preserve">Değiştirebileceğin sayı (girdi).</t>
  </si>
  <si>
    <t xml:space="preserve">Siyah yazı</t>
  </si>
  <si>
    <t xml:space="preserve">Formül — kendi kendine hesaplanır, elle yazma.</t>
  </si>
  <si>
    <t xml:space="preserve">Sarı dolgu</t>
  </si>
  <si>
    <t xml:space="preserve">Dengeyi en çok etkileyen ayarlar. Önce bunlarla oyna.</t>
  </si>
  <si>
    <t xml:space="preserve">Faz 1</t>
  </si>
  <si>
    <t xml:space="preserve">İlk oynanabilir prototipte olanlar.</t>
  </si>
  <si>
    <t xml:space="preserve">Faz 2</t>
  </si>
  <si>
    <t xml:space="preserve">Arkadaşlarla ilk testten sonra eklenecekler (süvari, koçbaşı, orman, altın, paralı asker, olaylar).</t>
  </si>
  <si>
    <t xml:space="preserve">Zaman birimi</t>
  </si>
  <si>
    <t xml:space="preserve">Üretim değerleri 'kişi başına dakikada'. Sunucu saniyede 1 tick atar; tick başına üretim = dakika değeri / 60.</t>
  </si>
  <si>
    <t xml:space="preserve">Sekmeler</t>
  </si>
  <si>
    <t xml:space="preserve">Maç · Ekonomi · Birlikler · Karşılıklar · Binalar · Faz 2</t>
  </si>
  <si>
    <t xml:space="preserve">Maç kuralları</t>
  </si>
  <si>
    <t xml:space="preserve">Ayar</t>
  </si>
  <si>
    <t xml:space="preserve">Değer</t>
  </si>
  <si>
    <t xml:space="preserve">Birim</t>
  </si>
  <si>
    <t xml:space="preserve">Not</t>
  </si>
  <si>
    <t xml:space="preserve">Hazırlık oranı</t>
  </si>
  <si>
    <t xml:space="preserve">maçın oranı</t>
  </si>
  <si>
    <t xml:space="preserve">Maç süresinin ne kadarı hazırlık.</t>
  </si>
  <si>
    <t xml:space="preserve">Kısa mod süresi</t>
  </si>
  <si>
    <t xml:space="preserve">dk</t>
  </si>
  <si>
    <t xml:space="preserve">Kısa mod — hazırlık</t>
  </si>
  <si>
    <t xml:space="preserve">Kısa mod — savaş</t>
  </si>
  <si>
    <t xml:space="preserve">Uzun mod süresi</t>
  </si>
  <si>
    <t xml:space="preserve">Uzun mod — hazırlık</t>
  </si>
  <si>
    <t xml:space="preserve">Uzun mod — savaş</t>
  </si>
  <si>
    <t xml:space="preserve">Oyuncu sayısı</t>
  </si>
  <si>
    <t xml:space="preserve">2–4</t>
  </si>
  <si>
    <t xml:space="preserve">Herkes kendi başına.</t>
  </si>
  <si>
    <t xml:space="preserve">Tick süresi</t>
  </si>
  <si>
    <t xml:space="preserve">sn</t>
  </si>
  <si>
    <t xml:space="preserve">Sunucu her tick'te üretimi hesaplar ve durumu yollar.</t>
  </si>
  <si>
    <t xml:space="preserve">Başlangıç nüfusu</t>
  </si>
  <si>
    <t xml:space="preserve">kişi</t>
  </si>
  <si>
    <t xml:space="preserve">Başlangıç yemek</t>
  </si>
  <si>
    <t xml:space="preserve">Başlangıç odun</t>
  </si>
  <si>
    <t xml:space="preserve">Başlangıç demir</t>
  </si>
  <si>
    <t xml:space="preserve">Gözcü görev süresi</t>
  </si>
  <si>
    <t xml:space="preserve">Gidip dönme dahil. Gözcü de 1 kişidir, o sürede çalışmaz.</t>
  </si>
  <si>
    <t xml:space="preserve">Gözcü rapor hata payı</t>
  </si>
  <si>
    <t xml:space="preserve">±</t>
  </si>
  <si>
    <t xml:space="preserve">Birlik TÜRLERİ kesin, SAYILAR yaklaşık görünür. Blöf alanı açar.</t>
  </si>
  <si>
    <t xml:space="preserve">Saldırı yolculuk süresi</t>
  </si>
  <si>
    <t xml:space="preserve">Ordu yola çıkınca hedefe varana kadar kalede değildir.</t>
  </si>
  <si>
    <t xml:space="preserve">Kıtlık başlangıcı</t>
  </si>
  <si>
    <t xml:space="preserve">savaşın oranı</t>
  </si>
  <si>
    <t xml:space="preserve">Savaşın son %30'unda yemek üretimi düşer — beklemeyi cezalandırır.</t>
  </si>
  <si>
    <t xml:space="preserve">Kıtlık yemek çarpanı</t>
  </si>
  <si>
    <t xml:space="preserve">×</t>
  </si>
  <si>
    <t xml:space="preserve">Kale düşme koşulu</t>
  </si>
  <si>
    <t xml:space="preserve">Sur yıkılır + savunmada asker kalmaz</t>
  </si>
  <si>
    <t xml:space="preserve">Süre biterse kazanan</t>
  </si>
  <si>
    <t xml:space="preserve">En yüksek toplam nüfus (işçi + asker)</t>
  </si>
  <si>
    <t xml:space="preserve">Ekonomi</t>
  </si>
  <si>
    <t xml:space="preserve">Meslek</t>
  </si>
  <si>
    <t xml:space="preserve">Ürettiği</t>
  </si>
  <si>
    <t xml:space="preserve">Kişi başı / dk (Sv1)</t>
  </si>
  <si>
    <t xml:space="preserve">Çiftçi</t>
  </si>
  <si>
    <t xml:space="preserve">Yemek</t>
  </si>
  <si>
    <t xml:space="preserve">Tarla binasında çalışır.</t>
  </si>
  <si>
    <t xml:space="preserve">Oduncu</t>
  </si>
  <si>
    <t xml:space="preserve">Odun</t>
  </si>
  <si>
    <t xml:space="preserve">Oduncu kampında çalışır.</t>
  </si>
  <si>
    <t xml:space="preserve">Madenci</t>
  </si>
  <si>
    <t xml:space="preserve">Demir</t>
  </si>
  <si>
    <t xml:space="preserve">Madende çalışır. Demir odundan daha yavaş gelir, bu yüzden daha değerli.</t>
  </si>
  <si>
    <t xml:space="preserve">Demirci</t>
  </si>
  <si>
    <t xml:space="preserve">Silah</t>
  </si>
  <si>
    <t xml:space="preserve">—</t>
  </si>
  <si>
    <t xml:space="preserve">Demir + odun → silah. Süreler 'Birlikler' sekmesinde.</t>
  </si>
  <si>
    <t xml:space="preserve">Gözcü</t>
  </si>
  <si>
    <t xml:space="preserve">Bilgi</t>
  </si>
  <si>
    <t xml:space="preserve">Rakibi izler ya da (Faz 2) ormanı keşfeder.</t>
  </si>
  <si>
    <t xml:space="preserve">Boşta</t>
  </si>
  <si>
    <t xml:space="preserve">Atanmamış kişi. Yemek yer, bir şey üretmez.</t>
  </si>
  <si>
    <t xml:space="preserve">Tüketim ve büyüme</t>
  </si>
  <si>
    <t xml:space="preserve">İşçi yemek tüketimi</t>
  </si>
  <si>
    <t xml:space="preserve">yemek/dk</t>
  </si>
  <si>
    <t xml:space="preserve">Asker yemek tüketimi</t>
  </si>
  <si>
    <t xml:space="preserve">Büyük ordu sürekli yük.</t>
  </si>
  <si>
    <t xml:space="preserve">Açlık cezası</t>
  </si>
  <si>
    <t xml:space="preserve">üretim ×</t>
  </si>
  <si>
    <t xml:space="preserve">Yemek 0'a düşerse tüm üretim yarıya iner.</t>
  </si>
  <si>
    <t xml:space="preserve">Yeni kişi taban maliyeti</t>
  </si>
  <si>
    <t xml:space="preserve">yemek</t>
  </si>
  <si>
    <t xml:space="preserve">Nüfus 10 iken 1 kişi bu kadar yemek ister.</t>
  </si>
  <si>
    <t xml:space="preserve">Maliyet artışı (kişi başı)</t>
  </si>
  <si>
    <t xml:space="preserve">%</t>
  </si>
  <si>
    <t xml:space="preserve">Her yeni kişi bir öncekinden bu kadar pahalı.</t>
  </si>
  <si>
    <t xml:space="preserve">Demirin odun karşılığı</t>
  </si>
  <si>
    <t xml:space="preserve">odun</t>
  </si>
  <si>
    <t xml:space="preserve">Oduncu hızı / madenci hızı. Birlik maliyet karşılaştırmasında kullanılır.</t>
  </si>
  <si>
    <t xml:space="preserve">Büyüme eğrisi — nüfus arttıkça yeni kişi ne kadar pahalı?</t>
  </si>
  <si>
    <t xml:space="preserve">Varsayım: nüfusun bu kadarı çiftçi</t>
  </si>
  <si>
    <t xml:space="preserve">Bina kapasitesi ve askerlerin fazladan tüketimi bu örnekte yok sayıldı.</t>
  </si>
  <si>
    <t xml:space="preserve">Nüfus</t>
  </si>
  <si>
    <t xml:space="preserve">Yeni kişi maliyeti (yemek)</t>
  </si>
  <si>
    <t xml:space="preserve">Çiftçi sayısı</t>
  </si>
  <si>
    <t xml:space="preserve">Net yemek / dk</t>
  </si>
  <si>
    <t xml:space="preserve">1 yeni kişi süresi (dk)</t>
  </si>
  <si>
    <t xml:space="preserve">Birlikler</t>
  </si>
  <si>
    <t xml:space="preserve">Her asker 1 işçiden eksilir — asıl maliyet kişi. Aşağıdaki kaynak maliyeti ikincil.</t>
  </si>
  <si>
    <t xml:space="preserve">Birlik</t>
  </si>
  <si>
    <t xml:space="preserve">Faz</t>
  </si>
  <si>
    <t xml:space="preserve">Kişi</t>
  </si>
  <si>
    <t xml:space="preserve">Üretim süresi (sn)</t>
  </si>
  <si>
    <t xml:space="preserve">Can</t>
  </si>
  <si>
    <t xml:space="preserve">Hasar</t>
  </si>
  <si>
    <t xml:space="preserve">Saldırı aralığı (sn)</t>
  </si>
  <si>
    <t xml:space="preserve">DPS (hasar/sn)</t>
  </si>
  <si>
    <t xml:space="preserve">Menzil</t>
  </si>
  <si>
    <t xml:space="preserve">Sıra</t>
  </si>
  <si>
    <t xml:space="preserve">Yendiği</t>
  </si>
  <si>
    <t xml:space="preserve">Korktuğu</t>
  </si>
  <si>
    <t xml:space="preserve">Kaynak değeri (odun karşılığı)</t>
  </si>
  <si>
    <t xml:space="preserve">Can×DPS / kaynak</t>
  </si>
  <si>
    <t xml:space="preserve">Özel</t>
  </si>
  <si>
    <t xml:space="preserve">Okçu</t>
  </si>
  <si>
    <t xml:space="preserve">Yay</t>
  </si>
  <si>
    <t xml:space="preserve">Uzak</t>
  </si>
  <si>
    <t xml:space="preserve">Arka</t>
  </si>
  <si>
    <t xml:space="preserve">Kılıçlı</t>
  </si>
  <si>
    <t xml:space="preserve">Kalkanlı</t>
  </si>
  <si>
    <t xml:space="preserve">Arkada durur; ön sıra düşene kadar hasar almaz. Surdaysa +%25 hasar.</t>
  </si>
  <si>
    <t xml:space="preserve">Kılıç</t>
  </si>
  <si>
    <t xml:space="preserve">Yakın</t>
  </si>
  <si>
    <t xml:space="preserve">Ön</t>
  </si>
  <si>
    <t xml:space="preserve">Mızrakçı</t>
  </si>
  <si>
    <t xml:space="preserve">Dengeli, her işe yarar.</t>
  </si>
  <si>
    <t xml:space="preserve">Mızrak</t>
  </si>
  <si>
    <t xml:space="preserve">En ucuz ve en hızlı üretilen. Zırh delici.</t>
  </si>
  <si>
    <t xml:space="preserve">Kalkan + kısa kılıç</t>
  </si>
  <si>
    <t xml:space="preserve">Tank. Az vurur, çok dayanır.</t>
  </si>
  <si>
    <t xml:space="preserve">Süvari</t>
  </si>
  <si>
    <t xml:space="preserve">Mızrak + at</t>
  </si>
  <si>
    <t xml:space="preserve">Hızlı</t>
  </si>
  <si>
    <t xml:space="preserve">Kaleye hasar vermez. Tarla yakar: rakibin yemek üretimi 60 sn ×0.5. Yolculuk süresi yarı.</t>
  </si>
  <si>
    <t xml:space="preserve">Koçbaşı</t>
  </si>
  <si>
    <t xml:space="preserve">Sur</t>
  </si>
  <si>
    <t xml:space="preserve">Her şey</t>
  </si>
  <si>
    <t xml:space="preserve">Sadece sura vurur, birimlere saldırmaz. 2 kişi kullanır.</t>
  </si>
  <si>
    <t xml:space="preserve">Not: 'Can×DPS / kaynak' kaba bir verimlilik ölçüsü. Menzili, sırayı ve karşılıkları hesaba katmaz — okçu burada düşük görünür ama arka sırada hasar almadan vurur. Gerçek denge savaş simülatöründe ölçülecek.</t>
  </si>
  <si>
    <t xml:space="preserve">Karşılık matrisi — saldıranın verdiği hasar çarpanı</t>
  </si>
  <si>
    <t xml:space="preserve">Avantaj çarpanı</t>
  </si>
  <si>
    <t xml:space="preserve">Saf taş-kağıt-makas değil: avantajlı birlik ×1.5 vurur, ama sayıca çok fazla olan taraf yine kazanabilir.</t>
  </si>
  <si>
    <t xml:space="preserve">Dezavantaj çarpanı</t>
  </si>
  <si>
    <t xml:space="preserve">Döngü: Kalkanlı → Okçu → Kılıçlı → Mızrakçı → Kalkanlı. Süvari okçuyu ezer, mızrakçıdan kaçar.</t>
  </si>
  <si>
    <t xml:space="preserve">Nötr</t>
  </si>
  <si>
    <t xml:space="preserve">Saldıran ↓ / Savunan →</t>
  </si>
  <si>
    <t xml:space="preserve">Koçbaşı birimlere saldırmaz (0). Sura verdiği hasar 'Birlikler' sekmesinde. Yeşil = avantaj, kırmızı = dezavantaj.</t>
  </si>
  <si>
    <t xml:space="preserve">Binalar</t>
  </si>
  <si>
    <t xml:space="preserve">Tarla, Oduncu kampı, Maden ve Demirhane aynı tabloyu kullanır (ilk prototip için sade). Demirhanede çarpan = silah üretim hızı.</t>
  </si>
  <si>
    <t xml:space="preserve">Seviye</t>
  </si>
  <si>
    <t xml:space="preserve">İşçi kapasitesi</t>
  </si>
  <si>
    <t xml:space="preserve">Üretim çarpanı</t>
  </si>
  <si>
    <t xml:space="preserve">Yükseltme: odun</t>
  </si>
  <si>
    <t xml:space="preserve">Yükseltme: demir</t>
  </si>
  <si>
    <t xml:space="preserve">Yükseltme süresi (sn)</t>
  </si>
  <si>
    <t xml:space="preserve">Görünüm</t>
  </si>
  <si>
    <t xml:space="preserve">Ahşap, küçük</t>
  </si>
  <si>
    <t xml:space="preserve">Taş temel, genişler</t>
  </si>
  <si>
    <t xml:space="preserve">Taş, bayraklı, en büyük hali</t>
  </si>
  <si>
    <t xml:space="preserve">Örnek: 3. seviye tarlada en fazla kaç yemek/dk?</t>
  </si>
  <si>
    <t xml:space="preserve">Başlangıçta var.</t>
  </si>
  <si>
    <t xml:space="preserve">Sur ayaktayken saldıran yakın dövüş birlikleri önce sura vurur. Surdaki savunan okçular +%25 hasar yapar. Koçbaşı olmadan sur yıkmak yavaş.</t>
  </si>
  <si>
    <t xml:space="preserve">Koçbaşı ile 3. seviye suru yıkma süresi (sn, tek koçbaşı):</t>
  </si>
  <si>
    <t xml:space="preserve">Faz 2 — ilk testten sonra</t>
  </si>
  <si>
    <t xml:space="preserve">Orman (gözcü keşfeder)</t>
  </si>
  <si>
    <t xml:space="preserve">Nokta</t>
  </si>
  <si>
    <t xml:space="preserve">Gereken</t>
  </si>
  <si>
    <t xml:space="preserve">Altın (min)</t>
  </si>
  <si>
    <t xml:space="preserve">Altın (max)</t>
  </si>
  <si>
    <t xml:space="preserve">Kişi (min)</t>
  </si>
  <si>
    <t xml:space="preserve">Kişi (max)</t>
  </si>
  <si>
    <t xml:space="preserve">Sandık</t>
  </si>
  <si>
    <t xml:space="preserve">1 gözcü</t>
  </si>
  <si>
    <t xml:space="preserve">Bulan alır.</t>
  </si>
  <si>
    <t xml:space="preserve">Köy</t>
  </si>
  <si>
    <t xml:space="preserve">En az 3 asker</t>
  </si>
  <si>
    <t xml:space="preserve">Yağmalanınca yok olur. Asker göndermek = o sürede savunma eksik.</t>
  </si>
  <si>
    <t xml:space="preserve">Haydut kampı</t>
  </si>
  <si>
    <t xml:space="preserve">6 haydut (kılıçlı statlı) yenilmeli</t>
  </si>
  <si>
    <t xml:space="preserve">Ayrıca 4 hazır silah verir.</t>
  </si>
  <si>
    <t xml:space="preserve">Keşif süresi: 60 sn. Ormandaki noktalar her maçta rastgele dağılır.</t>
  </si>
  <si>
    <t xml:space="preserve">Paralı askerler (altının harcandığı yer)</t>
  </si>
  <si>
    <t xml:space="preserve">Altın</t>
  </si>
  <si>
    <t xml:space="preserve">Yemek / dk</t>
  </si>
  <si>
    <t xml:space="preserve">Nüfustan düşer mi?</t>
  </si>
  <si>
    <t xml:space="preserve">Hayır</t>
  </si>
  <si>
    <t xml:space="preserve">İşçiye dönüşemez. Kişi kaybetmeden ordu büyütmenin tek yolu.</t>
  </si>
  <si>
    <t xml:space="preserve">Maç olayları</t>
  </si>
  <si>
    <t xml:space="preserve">Olay</t>
  </si>
  <si>
    <t xml:space="preserve">Etki</t>
  </si>
  <si>
    <t xml:space="preserve">Süre (sn)</t>
  </si>
  <si>
    <t xml:space="preserve">Kıtlık</t>
  </si>
  <si>
    <t xml:space="preserve">Tüm tarlalar ×0.5</t>
  </si>
  <si>
    <t xml:space="preserve">Faz 1'deki savaş sonu kıtlığından ayrı, rastgele gelir.</t>
  </si>
  <si>
    <t xml:space="preserve">Haydut baskını</t>
  </si>
  <si>
    <t xml:space="preserve">En az savunması olan kaleye 5 haydut saldırır</t>
  </si>
  <si>
    <t xml:space="preserve">Pasif oynamayı cezalandırır.</t>
  </si>
  <si>
    <t xml:space="preserve">Sis</t>
  </si>
  <si>
    <t xml:space="preserve">Gözcüler bilgi getiremez</t>
  </si>
  <si>
    <t xml:space="preserve">Göçmenler</t>
  </si>
  <si>
    <t xml:space="preserve">Ormanda 4 kişilik köy belirir; ilk varan alır</t>
  </si>
  <si>
    <t xml:space="preserve">Herkesi ormana koşturur.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</si>
</sst>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General"/>
    <numFmt numFmtId="167" formatCode="0.00"/>
    <numFmt numFmtId="168" formatCode="0.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A8"/>
        <bgColor rgb="FFEEEEEE"/>
      </patternFill>
    </fill>
    <fill>
      <patternFill patternType="solid">
        <fgColor rgb="FF3B4A5A"/>
        <bgColor rgb="FF333399"/>
      </patternFill>
    </fill>
    <fill>
      <patternFill patternType="solid">
        <fgColor rgb="FFEEEEEE"/>
        <bgColor rgb="FFD6F0D6"/>
      </patternFill>
    </fill>
    <fill>
      <patternFill patternType="solid">
        <fgColor rgb="FFD6F0D6"/>
        <bgColor rgb="FFEEEEEE"/>
      </patternFill>
    </fill>
    <fill>
      <patternFill patternType="solid">
        <fgColor rgb="FFF6D6D6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2A8"/>
      <rgbColor rgb="FF99CCFF"/>
      <rgbColor rgb="FFFF99CC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5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6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6.2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17</v>
      </c>
    </row>
    <row r="3" customFormat="false" ht="15" hidden="false" customHeight="true" outlineLevel="0" collapsed="false">
      <c r="A3" s="7" t="s">
        <v>18</v>
      </c>
      <c r="B3" s="7" t="s">
        <v>19</v>
      </c>
      <c r="C3" s="7" t="s">
        <v>20</v>
      </c>
      <c r="D3" s="7" t="s">
        <v>21</v>
      </c>
    </row>
    <row r="4" customFormat="false" ht="15" hidden="false" customHeight="true" outlineLevel="0" collapsed="false">
      <c r="A4" s="8" t="s">
        <v>22</v>
      </c>
      <c r="B4" s="9" t="n">
        <v>0.33</v>
      </c>
      <c r="C4" s="8" t="s">
        <v>23</v>
      </c>
      <c r="D4" s="10" t="s">
        <v>24</v>
      </c>
    </row>
    <row r="5" customFormat="false" ht="15" hidden="false" customHeight="true" outlineLevel="0" collapsed="false">
      <c r="A5" s="8" t="s">
        <v>25</v>
      </c>
      <c r="B5" s="11" t="n">
        <v>15</v>
      </c>
      <c r="C5" s="8" t="s">
        <v>26</v>
      </c>
      <c r="D5" s="10"/>
    </row>
    <row r="6" customFormat="false" ht="15" hidden="false" customHeight="true" outlineLevel="0" collapsed="false">
      <c r="A6" s="8" t="s">
        <v>27</v>
      </c>
      <c r="B6" s="12" t="n">
        <f aca="false">ROUND(B5*B4,0)</f>
        <v>5</v>
      </c>
      <c r="C6" s="8" t="s">
        <v>26</v>
      </c>
      <c r="D6" s="10"/>
    </row>
    <row r="7" customFormat="false" ht="15" hidden="false" customHeight="true" outlineLevel="0" collapsed="false">
      <c r="A7" s="8" t="s">
        <v>28</v>
      </c>
      <c r="B7" s="12" t="n">
        <f aca="false">B5-B6</f>
        <v>10</v>
      </c>
      <c r="C7" s="8" t="s">
        <v>26</v>
      </c>
      <c r="D7" s="10"/>
    </row>
    <row r="8" customFormat="false" ht="15" hidden="false" customHeight="true" outlineLevel="0" collapsed="false">
      <c r="A8" s="8" t="s">
        <v>29</v>
      </c>
      <c r="B8" s="11" t="n">
        <v>30</v>
      </c>
      <c r="C8" s="8" t="s">
        <v>26</v>
      </c>
      <c r="D8" s="10"/>
    </row>
    <row r="9" customFormat="false" ht="15" hidden="false" customHeight="true" outlineLevel="0" collapsed="false">
      <c r="A9" s="8" t="s">
        <v>30</v>
      </c>
      <c r="B9" s="12" t="n">
        <f aca="false">ROUND(B8*B4,0)</f>
        <v>10</v>
      </c>
      <c r="C9" s="8" t="s">
        <v>26</v>
      </c>
      <c r="D9" s="10"/>
    </row>
    <row r="10" customFormat="false" ht="15" hidden="false" customHeight="true" outlineLevel="0" collapsed="false">
      <c r="A10" s="8" t="s">
        <v>31</v>
      </c>
      <c r="B10" s="12" t="n">
        <f aca="false">B8-B9</f>
        <v>20</v>
      </c>
      <c r="C10" s="8" t="s">
        <v>26</v>
      </c>
      <c r="D10" s="10"/>
    </row>
    <row r="11" customFormat="false" ht="15" hidden="false" customHeight="true" outlineLevel="0" collapsed="false">
      <c r="A11" s="8" t="s">
        <v>32</v>
      </c>
      <c r="B11" s="8" t="s">
        <v>33</v>
      </c>
      <c r="C11" s="8"/>
      <c r="D11" s="10" t="s">
        <v>34</v>
      </c>
    </row>
    <row r="12" customFormat="false" ht="15" hidden="false" customHeight="true" outlineLevel="0" collapsed="false">
      <c r="A12" s="8" t="s">
        <v>35</v>
      </c>
      <c r="B12" s="11" t="n">
        <v>1</v>
      </c>
      <c r="C12" s="8" t="s">
        <v>36</v>
      </c>
      <c r="D12" s="10" t="s">
        <v>37</v>
      </c>
    </row>
    <row r="13" customFormat="false" ht="15" hidden="false" customHeight="true" outlineLevel="0" collapsed="false">
      <c r="A13" s="8" t="s">
        <v>38</v>
      </c>
      <c r="B13" s="13" t="n">
        <v>10</v>
      </c>
      <c r="C13" s="8" t="s">
        <v>39</v>
      </c>
      <c r="D13" s="10"/>
    </row>
    <row r="14" customFormat="false" ht="15" hidden="false" customHeight="true" outlineLevel="0" collapsed="false">
      <c r="A14" s="8" t="s">
        <v>40</v>
      </c>
      <c r="B14" s="11" t="n">
        <v>30</v>
      </c>
      <c r="C14" s="8"/>
      <c r="D14" s="10"/>
    </row>
    <row r="15" customFormat="false" ht="15" hidden="false" customHeight="true" outlineLevel="0" collapsed="false">
      <c r="A15" s="8" t="s">
        <v>41</v>
      </c>
      <c r="B15" s="11" t="n">
        <v>20</v>
      </c>
      <c r="C15" s="8"/>
      <c r="D15" s="10"/>
    </row>
    <row r="16" customFormat="false" ht="15" hidden="false" customHeight="true" outlineLevel="0" collapsed="false">
      <c r="A16" s="8" t="s">
        <v>42</v>
      </c>
      <c r="B16" s="11" t="n">
        <v>10</v>
      </c>
      <c r="C16" s="8"/>
      <c r="D16" s="10"/>
    </row>
    <row r="17" customFormat="false" ht="15" hidden="false" customHeight="true" outlineLevel="0" collapsed="false">
      <c r="A17" s="8" t="s">
        <v>43</v>
      </c>
      <c r="B17" s="11" t="n">
        <v>45</v>
      </c>
      <c r="C17" s="8" t="s">
        <v>36</v>
      </c>
      <c r="D17" s="10" t="s">
        <v>44</v>
      </c>
    </row>
    <row r="18" customFormat="false" ht="26.25" hidden="false" customHeight="true" outlineLevel="0" collapsed="false">
      <c r="A18" s="8" t="s">
        <v>45</v>
      </c>
      <c r="B18" s="9" t="n">
        <v>0.2</v>
      </c>
      <c r="C18" s="8" t="s">
        <v>46</v>
      </c>
      <c r="D18" s="10" t="s">
        <v>47</v>
      </c>
    </row>
    <row r="19" customFormat="false" ht="15" hidden="false" customHeight="true" outlineLevel="0" collapsed="false">
      <c r="A19" s="8" t="s">
        <v>48</v>
      </c>
      <c r="B19" s="11" t="n">
        <v>30</v>
      </c>
      <c r="C19" s="8" t="s">
        <v>36</v>
      </c>
      <c r="D19" s="10" t="s">
        <v>49</v>
      </c>
    </row>
    <row r="20" customFormat="false" ht="26.25" hidden="false" customHeight="true" outlineLevel="0" collapsed="false">
      <c r="A20" s="8" t="s">
        <v>50</v>
      </c>
      <c r="B20" s="9" t="n">
        <v>0.7</v>
      </c>
      <c r="C20" s="8" t="s">
        <v>51</v>
      </c>
      <c r="D20" s="10" t="s">
        <v>52</v>
      </c>
    </row>
    <row r="21" customFormat="false" ht="15" hidden="false" customHeight="true" outlineLevel="0" collapsed="false">
      <c r="A21" s="8" t="s">
        <v>53</v>
      </c>
      <c r="B21" s="13" t="n">
        <v>0.5</v>
      </c>
      <c r="C21" s="8" t="s">
        <v>54</v>
      </c>
      <c r="D21" s="10"/>
    </row>
    <row r="22" customFormat="false" ht="15" hidden="false" customHeight="true" outlineLevel="0" collapsed="false">
      <c r="A22" s="8" t="s">
        <v>55</v>
      </c>
      <c r="B22" s="8" t="s">
        <v>56</v>
      </c>
      <c r="C22" s="8"/>
      <c r="D22" s="10"/>
    </row>
    <row r="23" customFormat="false" ht="15" hidden="false" customHeight="true" outlineLevel="0" collapsed="false">
      <c r="A23" s="8" t="s">
        <v>57</v>
      </c>
      <c r="B23" s="8" t="s">
        <v>58</v>
      </c>
      <c r="C23" s="8"/>
      <c r="D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62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59</v>
      </c>
    </row>
    <row r="3" customFormat="false" ht="15" hidden="false" customHeight="true" outlineLevel="0" collapsed="false">
      <c r="A3" s="7" t="s">
        <v>60</v>
      </c>
      <c r="B3" s="7" t="s">
        <v>61</v>
      </c>
      <c r="C3" s="7" t="s">
        <v>62</v>
      </c>
      <c r="D3" s="7" t="s">
        <v>21</v>
      </c>
    </row>
    <row r="4" customFormat="false" ht="15" hidden="false" customHeight="true" outlineLevel="0" collapsed="false">
      <c r="A4" s="8" t="s">
        <v>63</v>
      </c>
      <c r="B4" s="8" t="s">
        <v>64</v>
      </c>
      <c r="C4" s="13" t="n">
        <v>6</v>
      </c>
      <c r="D4" s="10" t="s">
        <v>65</v>
      </c>
    </row>
    <row r="5" customFormat="false" ht="15" hidden="false" customHeight="true" outlineLevel="0" collapsed="false">
      <c r="A5" s="8" t="s">
        <v>66</v>
      </c>
      <c r="B5" s="8" t="s">
        <v>67</v>
      </c>
      <c r="C5" s="13" t="n">
        <v>5</v>
      </c>
      <c r="D5" s="10" t="s">
        <v>68</v>
      </c>
    </row>
    <row r="6" customFormat="false" ht="26.25" hidden="false" customHeight="true" outlineLevel="0" collapsed="false">
      <c r="A6" s="8" t="s">
        <v>69</v>
      </c>
      <c r="B6" s="8" t="s">
        <v>70</v>
      </c>
      <c r="C6" s="13" t="n">
        <v>4</v>
      </c>
      <c r="D6" s="10" t="s">
        <v>71</v>
      </c>
    </row>
    <row r="7" customFormat="false" ht="15" hidden="false" customHeight="true" outlineLevel="0" collapsed="false">
      <c r="A7" s="8" t="s">
        <v>72</v>
      </c>
      <c r="B7" s="8" t="s">
        <v>73</v>
      </c>
      <c r="C7" s="8" t="s">
        <v>74</v>
      </c>
      <c r="D7" s="10" t="s">
        <v>75</v>
      </c>
    </row>
    <row r="8" customFormat="false" ht="15" hidden="false" customHeight="true" outlineLevel="0" collapsed="false">
      <c r="A8" s="8" t="s">
        <v>76</v>
      </c>
      <c r="B8" s="8" t="s">
        <v>77</v>
      </c>
      <c r="C8" s="8" t="s">
        <v>74</v>
      </c>
      <c r="D8" s="10" t="s">
        <v>78</v>
      </c>
    </row>
    <row r="9" customFormat="false" ht="15" hidden="false" customHeight="true" outlineLevel="0" collapsed="false">
      <c r="A9" s="8" t="s">
        <v>79</v>
      </c>
      <c r="B9" s="8" t="s">
        <v>74</v>
      </c>
      <c r="C9" s="8" t="s">
        <v>74</v>
      </c>
      <c r="D9" s="10" t="s">
        <v>80</v>
      </c>
    </row>
    <row r="11" customFormat="false" ht="15" hidden="false" customHeight="true" outlineLevel="0" collapsed="false">
      <c r="A11" s="7" t="s">
        <v>81</v>
      </c>
      <c r="B11" s="7" t="s">
        <v>19</v>
      </c>
      <c r="C11" s="7" t="s">
        <v>20</v>
      </c>
      <c r="D11" s="7" t="s">
        <v>21</v>
      </c>
    </row>
    <row r="12" customFormat="false" ht="15" hidden="false" customHeight="true" outlineLevel="0" collapsed="false">
      <c r="A12" s="8" t="s">
        <v>82</v>
      </c>
      <c r="B12" s="11" t="n">
        <v>1</v>
      </c>
      <c r="C12" s="8" t="s">
        <v>83</v>
      </c>
      <c r="D12" s="10"/>
    </row>
    <row r="13" customFormat="false" ht="15" hidden="false" customHeight="true" outlineLevel="0" collapsed="false">
      <c r="A13" s="8" t="s">
        <v>84</v>
      </c>
      <c r="B13" s="13" t="n">
        <v>1.5</v>
      </c>
      <c r="C13" s="8" t="s">
        <v>83</v>
      </c>
      <c r="D13" s="10" t="s">
        <v>85</v>
      </c>
    </row>
    <row r="14" customFormat="false" ht="15" hidden="false" customHeight="true" outlineLevel="0" collapsed="false">
      <c r="A14" s="8" t="s">
        <v>86</v>
      </c>
      <c r="B14" s="11" t="n">
        <v>0.5</v>
      </c>
      <c r="C14" s="8" t="s">
        <v>87</v>
      </c>
      <c r="D14" s="10" t="s">
        <v>88</v>
      </c>
    </row>
    <row r="15" customFormat="false" ht="15" hidden="false" customHeight="true" outlineLevel="0" collapsed="false">
      <c r="A15" s="8" t="s">
        <v>89</v>
      </c>
      <c r="B15" s="13" t="n">
        <v>15</v>
      </c>
      <c r="C15" s="8" t="s">
        <v>90</v>
      </c>
      <c r="D15" s="10" t="s">
        <v>91</v>
      </c>
    </row>
    <row r="16" customFormat="false" ht="15" hidden="false" customHeight="true" outlineLevel="0" collapsed="false">
      <c r="A16" s="8" t="s">
        <v>92</v>
      </c>
      <c r="B16" s="9" t="n">
        <v>0.12</v>
      </c>
      <c r="C16" s="8" t="s">
        <v>93</v>
      </c>
      <c r="D16" s="10" t="s">
        <v>94</v>
      </c>
    </row>
    <row r="17" customFormat="false" ht="26.25" hidden="false" customHeight="true" outlineLevel="0" collapsed="false">
      <c r="A17" s="8" t="s">
        <v>95</v>
      </c>
      <c r="B17" s="14" t="n">
        <f aca="false">C5/C6</f>
        <v>1.25</v>
      </c>
      <c r="C17" s="8" t="s">
        <v>96</v>
      </c>
      <c r="D17" s="10" t="s">
        <v>97</v>
      </c>
    </row>
    <row r="19" customFormat="false" ht="15" hidden="false" customHeight="true" outlineLevel="0" collapsed="false">
      <c r="A19" s="3" t="s">
        <v>98</v>
      </c>
    </row>
    <row r="20" customFormat="false" ht="15" hidden="false" customHeight="true" outlineLevel="0" collapsed="false">
      <c r="A20" s="15" t="s">
        <v>99</v>
      </c>
      <c r="B20" s="9" t="n">
        <v>0.4</v>
      </c>
      <c r="D20" s="16" t="s">
        <v>100</v>
      </c>
    </row>
    <row r="22" customFormat="false" ht="26.25" hidden="false" customHeight="true" outlineLevel="0" collapsed="false">
      <c r="A22" s="7" t="s">
        <v>101</v>
      </c>
      <c r="B22" s="7" t="s">
        <v>102</v>
      </c>
      <c r="C22" s="7" t="s">
        <v>103</v>
      </c>
      <c r="D22" s="7" t="s">
        <v>104</v>
      </c>
      <c r="E22" s="7" t="s">
        <v>105</v>
      </c>
    </row>
    <row r="23" customFormat="false" ht="15" hidden="false" customHeight="true" outlineLevel="0" collapsed="false">
      <c r="A23" s="11" t="n">
        <v>10</v>
      </c>
      <c r="B23" s="12" t="n">
        <f aca="false">ROUND($B$15*(1+$B$16)^(A23-10),0)</f>
        <v>15</v>
      </c>
      <c r="C23" s="12" t="n">
        <f aca="false">ROUND(A23*$B$20,0)</f>
        <v>4</v>
      </c>
      <c r="D23" s="12" t="n">
        <f aca="false">C23*$C$4-A23*$B$12</f>
        <v>14</v>
      </c>
      <c r="E23" s="17" t="n">
        <f aca="false">IF(D23&gt;0,B23/D23,"büyümez")</f>
        <v>1.07142857142857</v>
      </c>
    </row>
    <row r="24" customFormat="false" ht="15" hidden="false" customHeight="true" outlineLevel="0" collapsed="false">
      <c r="A24" s="11" t="n">
        <v>12</v>
      </c>
      <c r="B24" s="12" t="n">
        <f aca="false">ROUND($B$15*(1+$B$16)^(A24-10),0)</f>
        <v>19</v>
      </c>
      <c r="C24" s="12" t="n">
        <f aca="false">ROUND(A24*$B$20,0)</f>
        <v>5</v>
      </c>
      <c r="D24" s="12" t="n">
        <f aca="false">C24*$C$4-A24*$B$12</f>
        <v>18</v>
      </c>
      <c r="E24" s="17" t="n">
        <f aca="false">IF(D24&gt;0,B24/D24,"büyümez")</f>
        <v>1.05555555555556</v>
      </c>
    </row>
    <row r="25" customFormat="false" ht="15" hidden="false" customHeight="true" outlineLevel="0" collapsed="false">
      <c r="A25" s="11" t="n">
        <v>14</v>
      </c>
      <c r="B25" s="12" t="n">
        <f aca="false">ROUND($B$15*(1+$B$16)^(A25-10),0)</f>
        <v>24</v>
      </c>
      <c r="C25" s="12" t="n">
        <f aca="false">ROUND(A25*$B$20,0)</f>
        <v>6</v>
      </c>
      <c r="D25" s="12" t="n">
        <f aca="false">C25*$C$4-A25*$B$12</f>
        <v>22</v>
      </c>
      <c r="E25" s="17" t="n">
        <f aca="false">IF(D25&gt;0,B25/D25,"büyümez")</f>
        <v>1.09090909090909</v>
      </c>
    </row>
    <row r="26" customFormat="false" ht="15" hidden="false" customHeight="true" outlineLevel="0" collapsed="false">
      <c r="A26" s="11" t="n">
        <v>16</v>
      </c>
      <c r="B26" s="12" t="n">
        <f aca="false">ROUND($B$15*(1+$B$16)^(A26-10),0)</f>
        <v>30</v>
      </c>
      <c r="C26" s="12" t="n">
        <f aca="false">ROUND(A26*$B$20,0)</f>
        <v>6</v>
      </c>
      <c r="D26" s="12" t="n">
        <f aca="false">C26*$C$4-A26*$B$12</f>
        <v>20</v>
      </c>
      <c r="E26" s="17" t="n">
        <f aca="false">IF(D26&gt;0,B26/D26,"büyümez")</f>
        <v>1.5</v>
      </c>
    </row>
    <row r="27" customFormat="false" ht="15" hidden="false" customHeight="true" outlineLevel="0" collapsed="false">
      <c r="A27" s="11" t="n">
        <v>18</v>
      </c>
      <c r="B27" s="12" t="n">
        <f aca="false">ROUND($B$15*(1+$B$16)^(A27-10),0)</f>
        <v>37</v>
      </c>
      <c r="C27" s="12" t="n">
        <f aca="false">ROUND(A27*$B$20,0)</f>
        <v>7</v>
      </c>
      <c r="D27" s="12" t="n">
        <f aca="false">C27*$C$4-A27*$B$12</f>
        <v>24</v>
      </c>
      <c r="E27" s="17" t="n">
        <f aca="false">IF(D27&gt;0,B27/D27,"büyümez")</f>
        <v>1.54166666666667</v>
      </c>
    </row>
    <row r="28" customFormat="false" ht="15" hidden="false" customHeight="true" outlineLevel="0" collapsed="false">
      <c r="A28" s="11" t="n">
        <v>20</v>
      </c>
      <c r="B28" s="12" t="n">
        <f aca="false">ROUND($B$15*(1+$B$16)^(A28-10),0)</f>
        <v>47</v>
      </c>
      <c r="C28" s="12" t="n">
        <f aca="false">ROUND(A28*$B$20,0)</f>
        <v>8</v>
      </c>
      <c r="D28" s="12" t="n">
        <f aca="false">C28*$C$4-A28*$B$12</f>
        <v>28</v>
      </c>
      <c r="E28" s="17" t="n">
        <f aca="false">IF(D28&gt;0,B28/D28,"büyümez")</f>
        <v>1.67857142857143</v>
      </c>
    </row>
    <row r="29" customFormat="false" ht="15" hidden="false" customHeight="true" outlineLevel="0" collapsed="false">
      <c r="A29" s="11" t="n">
        <v>22</v>
      </c>
      <c r="B29" s="12" t="n">
        <f aca="false">ROUND($B$15*(1+$B$16)^(A29-10),0)</f>
        <v>58</v>
      </c>
      <c r="C29" s="12" t="n">
        <f aca="false">ROUND(A29*$B$20,0)</f>
        <v>9</v>
      </c>
      <c r="D29" s="12" t="n">
        <f aca="false">C29*$C$4-A29*$B$12</f>
        <v>32</v>
      </c>
      <c r="E29" s="17" t="n">
        <f aca="false">IF(D29&gt;0,B29/D29,"büyümez")</f>
        <v>1.8125</v>
      </c>
    </row>
    <row r="30" customFormat="false" ht="15" hidden="false" customHeight="true" outlineLevel="0" collapsed="false">
      <c r="A30" s="11" t="n">
        <v>24</v>
      </c>
      <c r="B30" s="12" t="n">
        <f aca="false">ROUND($B$15*(1+$B$16)^(A30-10),0)</f>
        <v>73</v>
      </c>
      <c r="C30" s="12" t="n">
        <f aca="false">ROUND(A30*$B$20,0)</f>
        <v>10</v>
      </c>
      <c r="D30" s="12" t="n">
        <f aca="false">C30*$C$4-A30*$B$12</f>
        <v>36</v>
      </c>
      <c r="E30" s="17" t="n">
        <f aca="false">IF(D30&gt;0,B30/D30,"büyümez")</f>
        <v>2.02777777777778</v>
      </c>
    </row>
    <row r="31" customFormat="false" ht="15" hidden="false" customHeight="true" outlineLevel="0" collapsed="false">
      <c r="A31" s="11" t="n">
        <v>26</v>
      </c>
      <c r="B31" s="12" t="n">
        <f aca="false">ROUND($B$15*(1+$B$16)^(A31-10),0)</f>
        <v>92</v>
      </c>
      <c r="C31" s="12" t="n">
        <f aca="false">ROUND(A31*$B$20,0)</f>
        <v>10</v>
      </c>
      <c r="D31" s="12" t="n">
        <f aca="false">C31*$C$4-A31*$B$12</f>
        <v>34</v>
      </c>
      <c r="E31" s="17" t="n">
        <f aca="false">IF(D31&gt;0,B31/D31,"büyümez")</f>
        <v>2.70588235294118</v>
      </c>
    </row>
    <row r="32" customFormat="false" ht="15" hidden="false" customHeight="true" outlineLevel="0" collapsed="false">
      <c r="A32" s="11" t="n">
        <v>28</v>
      </c>
      <c r="B32" s="12" t="n">
        <f aca="false">ROUND($B$15*(1+$B$16)^(A32-10),0)</f>
        <v>115</v>
      </c>
      <c r="C32" s="12" t="n">
        <f aca="false">ROUND(A32*$B$20,0)</f>
        <v>11</v>
      </c>
      <c r="D32" s="12" t="n">
        <f aca="false">C32*$C$4-A32*$B$12</f>
        <v>38</v>
      </c>
      <c r="E32" s="17" t="n">
        <f aca="false">IF(D32&gt;0,B32/D32,"büyümez")</f>
        <v>3.02631578947368</v>
      </c>
    </row>
    <row r="33" customFormat="false" ht="15" hidden="false" customHeight="true" outlineLevel="0" collapsed="false">
      <c r="A33" s="11" t="n">
        <v>30</v>
      </c>
      <c r="B33" s="12" t="n">
        <f aca="false">ROUND($B$15*(1+$B$16)^(A33-10),0)</f>
        <v>145</v>
      </c>
      <c r="C33" s="12" t="n">
        <f aca="false">ROUND(A33*$B$20,0)</f>
        <v>12</v>
      </c>
      <c r="D33" s="12" t="n">
        <f aca="false">C33*$C$4-A33*$B$12</f>
        <v>42</v>
      </c>
      <c r="E33" s="17" t="n">
        <f aca="false">IF(D33&gt;0,B33/D33,"büyümez")</f>
        <v>3.45238095238095</v>
      </c>
    </row>
    <row r="34" customFormat="false" ht="15" hidden="false" customHeight="true" outlineLevel="0" collapsed="false">
      <c r="A34" s="11" t="n">
        <v>32</v>
      </c>
      <c r="B34" s="12" t="n">
        <f aca="false">ROUND($B$15*(1+$B$16)^(A34-10),0)</f>
        <v>182</v>
      </c>
      <c r="C34" s="12" t="n">
        <f aca="false">ROUND(A34*$B$20,0)</f>
        <v>13</v>
      </c>
      <c r="D34" s="12" t="n">
        <f aca="false">C34*$C$4-A34*$B$12</f>
        <v>46</v>
      </c>
      <c r="E34" s="17" t="n">
        <f aca="false">IF(D34&gt;0,B34/D34,"büyümez")</f>
        <v>3.95652173913043</v>
      </c>
    </row>
    <row r="35" customFormat="false" ht="15" hidden="false" customHeight="true" outlineLevel="0" collapsed="false">
      <c r="A35" s="11" t="n">
        <v>34</v>
      </c>
      <c r="B35" s="12" t="n">
        <f aca="false">ROUND($B$15*(1+$B$16)^(A35-10),0)</f>
        <v>228</v>
      </c>
      <c r="C35" s="12" t="n">
        <f aca="false">ROUND(A35*$B$20,0)</f>
        <v>14</v>
      </c>
      <c r="D35" s="12" t="n">
        <f aca="false">C35*$C$4-A35*$B$12</f>
        <v>50</v>
      </c>
      <c r="E35" s="17" t="n">
        <f aca="false">IF(D35&gt;0,B35/D35,"büyümez")</f>
        <v>4.56</v>
      </c>
    </row>
    <row r="36" customFormat="false" ht="15" hidden="false" customHeight="true" outlineLevel="0" collapsed="false">
      <c r="A36" s="11" t="n">
        <v>36</v>
      </c>
      <c r="B36" s="12" t="n">
        <f aca="false">ROUND($B$15*(1+$B$16)^(A36-10),0)</f>
        <v>286</v>
      </c>
      <c r="C36" s="12" t="n">
        <f aca="false">ROUND(A36*$B$20,0)</f>
        <v>14</v>
      </c>
      <c r="D36" s="12" t="n">
        <f aca="false">C36*$C$4-A36*$B$12</f>
        <v>48</v>
      </c>
      <c r="E36" s="17" t="n">
        <f aca="false">IF(D36&gt;0,B36/D36,"büyümez")</f>
        <v>5.95833333333333</v>
      </c>
    </row>
    <row r="37" customFormat="false" ht="15" hidden="false" customHeight="true" outlineLevel="0" collapsed="false">
      <c r="A37" s="11" t="n">
        <v>38</v>
      </c>
      <c r="B37" s="12" t="n">
        <f aca="false">ROUND($B$15*(1+$B$16)^(A37-10),0)</f>
        <v>358</v>
      </c>
      <c r="C37" s="12" t="n">
        <f aca="false">ROUND(A37*$B$20,0)</f>
        <v>15</v>
      </c>
      <c r="D37" s="12" t="n">
        <f aca="false">C37*$C$4-A37*$B$12</f>
        <v>52</v>
      </c>
      <c r="E37" s="17" t="n">
        <f aca="false">IF(D37&gt;0,B37/D37,"büyümez")</f>
        <v>6.88461538461539</v>
      </c>
    </row>
    <row r="38" customFormat="false" ht="15" hidden="false" customHeight="true" outlineLevel="0" collapsed="false">
      <c r="A38" s="11" t="n">
        <v>40</v>
      </c>
      <c r="B38" s="12" t="n">
        <f aca="false">ROUND($B$15*(1+$B$16)^(A38-10),0)</f>
        <v>449</v>
      </c>
      <c r="C38" s="12" t="n">
        <f aca="false">ROUND(A38*$B$20,0)</f>
        <v>16</v>
      </c>
      <c r="D38" s="12" t="n">
        <f aca="false">C38*$C$4-A38*$B$12</f>
        <v>56</v>
      </c>
      <c r="E38" s="17" t="n">
        <f aca="false">IF(D38&gt;0,B38/D38,"büyümez")</f>
        <v>8.01785714285714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6" min="4" style="1" width="8"/>
    <col collapsed="false" customWidth="true" hidden="false" outlineLevel="0" max="7" min="7" style="1" width="7"/>
    <col collapsed="false" customWidth="true" hidden="false" outlineLevel="0" max="8" min="8" style="1" width="12"/>
    <col collapsed="false" customWidth="true" hidden="false" outlineLevel="0" max="10" min="9" style="1" width="8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6" min="15" style="1" width="11"/>
    <col collapsed="false" customWidth="true" hidden="false" outlineLevel="0" max="17" min="17" style="1" width="14"/>
    <col collapsed="false" customWidth="true" hidden="false" outlineLevel="0" max="18" min="18" style="1" width="12"/>
    <col collapsed="false" customWidth="true" hidden="false" outlineLevel="0" max="19" min="19" style="1" width="55"/>
  </cols>
  <sheetData>
    <row r="1" customFormat="false" ht="17.25" hidden="false" customHeight="true" outlineLevel="0" collapsed="false">
      <c r="A1" s="2" t="s">
        <v>106</v>
      </c>
    </row>
    <row r="2" customFormat="false" ht="15" hidden="false" customHeight="true" outlineLevel="0" collapsed="false">
      <c r="A2" s="16" t="s">
        <v>107</v>
      </c>
    </row>
    <row r="4" customFormat="false" ht="45" hidden="false" customHeight="true" outlineLevel="0" collapsed="false">
      <c r="A4" s="7" t="s">
        <v>108</v>
      </c>
      <c r="B4" s="7" t="s">
        <v>109</v>
      </c>
      <c r="C4" s="7" t="s">
        <v>73</v>
      </c>
      <c r="D4" s="7" t="s">
        <v>70</v>
      </c>
      <c r="E4" s="7" t="s">
        <v>67</v>
      </c>
      <c r="F4" s="7" t="s">
        <v>64</v>
      </c>
      <c r="G4" s="7" t="s">
        <v>110</v>
      </c>
      <c r="H4" s="7" t="s">
        <v>111</v>
      </c>
      <c r="I4" s="7" t="s">
        <v>112</v>
      </c>
      <c r="J4" s="7" t="s">
        <v>113</v>
      </c>
      <c r="K4" s="7" t="s">
        <v>114</v>
      </c>
      <c r="L4" s="7" t="s">
        <v>115</v>
      </c>
      <c r="M4" s="7" t="s">
        <v>116</v>
      </c>
      <c r="N4" s="7" t="s">
        <v>117</v>
      </c>
      <c r="O4" s="7" t="s">
        <v>118</v>
      </c>
      <c r="P4" s="7" t="s">
        <v>119</v>
      </c>
      <c r="Q4" s="7" t="s">
        <v>120</v>
      </c>
      <c r="R4" s="7" t="s">
        <v>121</v>
      </c>
      <c r="S4" s="7" t="s">
        <v>122</v>
      </c>
    </row>
    <row r="5" customFormat="false" ht="26.25" hidden="false" customHeight="true" outlineLevel="0" collapsed="false">
      <c r="A5" s="8" t="s">
        <v>123</v>
      </c>
      <c r="B5" s="11" t="n">
        <v>1</v>
      </c>
      <c r="C5" s="8" t="s">
        <v>124</v>
      </c>
      <c r="D5" s="11" t="n">
        <v>1</v>
      </c>
      <c r="E5" s="11" t="n">
        <v>4</v>
      </c>
      <c r="F5" s="11" t="n">
        <v>0</v>
      </c>
      <c r="G5" s="11" t="n">
        <v>1</v>
      </c>
      <c r="H5" s="11" t="n">
        <v>25</v>
      </c>
      <c r="I5" s="13" t="n">
        <v>60</v>
      </c>
      <c r="J5" s="13" t="n">
        <v>10</v>
      </c>
      <c r="K5" s="11" t="n">
        <v>1.2</v>
      </c>
      <c r="L5" s="14" t="n">
        <f aca="false">J5/K5</f>
        <v>8.33333333333333</v>
      </c>
      <c r="M5" s="8" t="s">
        <v>125</v>
      </c>
      <c r="N5" s="8" t="s">
        <v>126</v>
      </c>
      <c r="O5" s="8" t="s">
        <v>127</v>
      </c>
      <c r="P5" s="8" t="s">
        <v>128</v>
      </c>
      <c r="Q5" s="17" t="n">
        <f aca="false">D5*Ekonomi!$B$17+E5+F5*Ekonomi!$C$5/Ekonomi!$C$4</f>
        <v>5.25</v>
      </c>
      <c r="R5" s="18" t="n">
        <f aca="false">I5*L5/Q5</f>
        <v>95.2380952380953</v>
      </c>
      <c r="S5" s="10" t="s">
        <v>129</v>
      </c>
    </row>
    <row r="6" customFormat="false" ht="15" hidden="false" customHeight="true" outlineLevel="0" collapsed="false">
      <c r="A6" s="8" t="s">
        <v>127</v>
      </c>
      <c r="B6" s="11" t="n">
        <v>1</v>
      </c>
      <c r="C6" s="8" t="s">
        <v>130</v>
      </c>
      <c r="D6" s="11" t="n">
        <v>3</v>
      </c>
      <c r="E6" s="11" t="n">
        <v>2</v>
      </c>
      <c r="F6" s="11" t="n">
        <v>0</v>
      </c>
      <c r="G6" s="11" t="n">
        <v>1</v>
      </c>
      <c r="H6" s="11" t="n">
        <v>30</v>
      </c>
      <c r="I6" s="13" t="n">
        <v>100</v>
      </c>
      <c r="J6" s="13" t="n">
        <v>12</v>
      </c>
      <c r="K6" s="11" t="n">
        <v>1</v>
      </c>
      <c r="L6" s="14" t="n">
        <f aca="false">J6/K6</f>
        <v>12</v>
      </c>
      <c r="M6" s="8" t="s">
        <v>131</v>
      </c>
      <c r="N6" s="8" t="s">
        <v>132</v>
      </c>
      <c r="O6" s="8" t="s">
        <v>133</v>
      </c>
      <c r="P6" s="8" t="s">
        <v>123</v>
      </c>
      <c r="Q6" s="17" t="n">
        <f aca="false">D6*Ekonomi!$B$17+E6+F6*Ekonomi!$C$5/Ekonomi!$C$4</f>
        <v>5.75</v>
      </c>
      <c r="R6" s="18" t="n">
        <f aca="false">I6*L6/Q6</f>
        <v>208.695652173913</v>
      </c>
      <c r="S6" s="10" t="s">
        <v>134</v>
      </c>
    </row>
    <row r="7" customFormat="false" ht="15" hidden="false" customHeight="true" outlineLevel="0" collapsed="false">
      <c r="A7" s="8" t="s">
        <v>133</v>
      </c>
      <c r="B7" s="11" t="n">
        <v>1</v>
      </c>
      <c r="C7" s="8" t="s">
        <v>135</v>
      </c>
      <c r="D7" s="11" t="n">
        <v>1</v>
      </c>
      <c r="E7" s="11" t="n">
        <v>3</v>
      </c>
      <c r="F7" s="11" t="n">
        <v>0</v>
      </c>
      <c r="G7" s="11" t="n">
        <v>1</v>
      </c>
      <c r="H7" s="11" t="n">
        <v>20</v>
      </c>
      <c r="I7" s="13" t="n">
        <v>90</v>
      </c>
      <c r="J7" s="13" t="n">
        <v>11</v>
      </c>
      <c r="K7" s="11" t="n">
        <v>1.2</v>
      </c>
      <c r="L7" s="14" t="n">
        <f aca="false">J7/K7</f>
        <v>9.16666666666667</v>
      </c>
      <c r="M7" s="8" t="s">
        <v>131</v>
      </c>
      <c r="N7" s="8" t="s">
        <v>132</v>
      </c>
      <c r="O7" s="8" t="s">
        <v>128</v>
      </c>
      <c r="P7" s="8" t="s">
        <v>127</v>
      </c>
      <c r="Q7" s="17" t="n">
        <f aca="false">D7*Ekonomi!$B$17+E7+F7*Ekonomi!$C$5/Ekonomi!$C$4</f>
        <v>4.25</v>
      </c>
      <c r="R7" s="18" t="n">
        <f aca="false">I7*L7/Q7</f>
        <v>194.117647058824</v>
      </c>
      <c r="S7" s="10" t="s">
        <v>136</v>
      </c>
    </row>
    <row r="8" customFormat="false" ht="15" hidden="false" customHeight="true" outlineLevel="0" collapsed="false">
      <c r="A8" s="8" t="s">
        <v>128</v>
      </c>
      <c r="B8" s="11" t="n">
        <v>1</v>
      </c>
      <c r="C8" s="8" t="s">
        <v>137</v>
      </c>
      <c r="D8" s="11" t="n">
        <v>2</v>
      </c>
      <c r="E8" s="11" t="n">
        <v>3</v>
      </c>
      <c r="F8" s="11" t="n">
        <v>0</v>
      </c>
      <c r="G8" s="11" t="n">
        <v>1</v>
      </c>
      <c r="H8" s="11" t="n">
        <v>35</v>
      </c>
      <c r="I8" s="13" t="n">
        <v>150</v>
      </c>
      <c r="J8" s="13" t="n">
        <v>7</v>
      </c>
      <c r="K8" s="11" t="n">
        <v>1.3</v>
      </c>
      <c r="L8" s="14" t="n">
        <f aca="false">J8/K8</f>
        <v>5.38461538461538</v>
      </c>
      <c r="M8" s="8" t="s">
        <v>131</v>
      </c>
      <c r="N8" s="8" t="s">
        <v>132</v>
      </c>
      <c r="O8" s="8" t="s">
        <v>123</v>
      </c>
      <c r="P8" s="8" t="s">
        <v>133</v>
      </c>
      <c r="Q8" s="17" t="n">
        <f aca="false">D8*Ekonomi!$B$17+E8+F8*Ekonomi!$C$5/Ekonomi!$C$4</f>
        <v>5.5</v>
      </c>
      <c r="R8" s="18" t="n">
        <f aca="false">I8*L8/Q8</f>
        <v>146.853146853147</v>
      </c>
      <c r="S8" s="10" t="s">
        <v>138</v>
      </c>
    </row>
    <row r="9" customFormat="false" ht="26.25" hidden="false" customHeight="true" outlineLevel="0" collapsed="false">
      <c r="A9" s="8" t="s">
        <v>139</v>
      </c>
      <c r="B9" s="11" t="n">
        <v>2</v>
      </c>
      <c r="C9" s="8" t="s">
        <v>140</v>
      </c>
      <c r="D9" s="11" t="n">
        <v>3</v>
      </c>
      <c r="E9" s="11" t="n">
        <v>2</v>
      </c>
      <c r="F9" s="11" t="n">
        <v>20</v>
      </c>
      <c r="G9" s="11" t="n">
        <v>1</v>
      </c>
      <c r="H9" s="11" t="n">
        <v>40</v>
      </c>
      <c r="I9" s="11" t="n">
        <v>110</v>
      </c>
      <c r="J9" s="11" t="n">
        <v>13</v>
      </c>
      <c r="K9" s="11" t="n">
        <v>1</v>
      </c>
      <c r="L9" s="14" t="n">
        <f aca="false">J9/K9</f>
        <v>13</v>
      </c>
      <c r="M9" s="8" t="s">
        <v>131</v>
      </c>
      <c r="N9" s="8" t="s">
        <v>141</v>
      </c>
      <c r="O9" s="8" t="s">
        <v>123</v>
      </c>
      <c r="P9" s="8" t="s">
        <v>133</v>
      </c>
      <c r="Q9" s="17" t="n">
        <f aca="false">D9*Ekonomi!$B$17+E9+F9*Ekonomi!$C$5/Ekonomi!$C$4</f>
        <v>22.4166666666667</v>
      </c>
      <c r="R9" s="18" t="n">
        <f aca="false">I9*L9/Q9</f>
        <v>63.7918215613383</v>
      </c>
      <c r="S9" s="10" t="s">
        <v>142</v>
      </c>
    </row>
    <row r="10" customFormat="false" ht="15" hidden="false" customHeight="true" outlineLevel="0" collapsed="false">
      <c r="A10" s="8" t="s">
        <v>143</v>
      </c>
      <c r="B10" s="11" t="n">
        <v>2</v>
      </c>
      <c r="C10" s="8" t="s">
        <v>143</v>
      </c>
      <c r="D10" s="11" t="n">
        <v>2</v>
      </c>
      <c r="E10" s="11" t="n">
        <v>10</v>
      </c>
      <c r="F10" s="11" t="n">
        <v>0</v>
      </c>
      <c r="G10" s="11" t="n">
        <v>2</v>
      </c>
      <c r="H10" s="11" t="n">
        <v>60</v>
      </c>
      <c r="I10" s="11" t="n">
        <v>300</v>
      </c>
      <c r="J10" s="11" t="n">
        <v>40</v>
      </c>
      <c r="K10" s="11" t="n">
        <v>3</v>
      </c>
      <c r="L10" s="14" t="n">
        <f aca="false">J10/K10</f>
        <v>13.3333333333333</v>
      </c>
      <c r="M10" s="8" t="s">
        <v>131</v>
      </c>
      <c r="N10" s="8" t="s">
        <v>132</v>
      </c>
      <c r="O10" s="8" t="s">
        <v>144</v>
      </c>
      <c r="P10" s="8" t="s">
        <v>145</v>
      </c>
      <c r="Q10" s="17" t="n">
        <f aca="false">D10*Ekonomi!$B$17+E10+F10*Ekonomi!$C$5/Ekonomi!$C$4</f>
        <v>12.5</v>
      </c>
      <c r="R10" s="8" t="s">
        <v>74</v>
      </c>
      <c r="S10" s="10" t="s">
        <v>146</v>
      </c>
    </row>
    <row r="12" customFormat="false" ht="15" hidden="false" customHeight="true" outlineLevel="0" collapsed="false">
      <c r="A12" s="19" t="s">
        <v>147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customFormat="false" ht="1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</sheetData>
  <mergeCells count="1">
    <mergeCell ref="A12:S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148</v>
      </c>
    </row>
    <row r="3" customFormat="false" ht="15" hidden="false" customHeight="true" outlineLevel="0" collapsed="false">
      <c r="A3" s="3" t="s">
        <v>149</v>
      </c>
      <c r="B3" s="13" t="n">
        <v>1.5</v>
      </c>
      <c r="D3" s="16" t="s">
        <v>150</v>
      </c>
    </row>
    <row r="4" customFormat="false" ht="15" hidden="false" customHeight="true" outlineLevel="0" collapsed="false">
      <c r="A4" s="3" t="s">
        <v>151</v>
      </c>
      <c r="B4" s="13" t="n">
        <v>0.75</v>
      </c>
      <c r="D4" s="16" t="s">
        <v>152</v>
      </c>
    </row>
    <row r="5" customFormat="false" ht="15" hidden="false" customHeight="true" outlineLevel="0" collapsed="false">
      <c r="A5" s="3" t="s">
        <v>153</v>
      </c>
      <c r="B5" s="11" t="n">
        <v>1</v>
      </c>
    </row>
    <row r="7" customFormat="false" ht="15" hidden="false" customHeight="true" outlineLevel="0" collapsed="false">
      <c r="A7" s="7" t="s">
        <v>154</v>
      </c>
      <c r="B7" s="7" t="s">
        <v>123</v>
      </c>
      <c r="C7" s="7" t="s">
        <v>127</v>
      </c>
      <c r="D7" s="7" t="s">
        <v>133</v>
      </c>
      <c r="E7" s="7" t="s">
        <v>128</v>
      </c>
      <c r="F7" s="7" t="s">
        <v>139</v>
      </c>
      <c r="G7" s="7" t="s">
        <v>143</v>
      </c>
    </row>
    <row r="8" customFormat="false" ht="15" hidden="false" customHeight="true" outlineLevel="0" collapsed="false">
      <c r="A8" s="20" t="s">
        <v>123</v>
      </c>
      <c r="B8" s="14" t="n">
        <f aca="false">$B$5</f>
        <v>1</v>
      </c>
      <c r="C8" s="21" t="n">
        <f aca="false">$B$3</f>
        <v>1.5</v>
      </c>
      <c r="D8" s="14" t="n">
        <f aca="false">$B$5</f>
        <v>1</v>
      </c>
      <c r="E8" s="22" t="n">
        <f aca="false">$B$4</f>
        <v>0.75</v>
      </c>
      <c r="F8" s="22" t="n">
        <f aca="false">$B$4</f>
        <v>0.75</v>
      </c>
      <c r="G8" s="14" t="n">
        <f aca="false">$B$5</f>
        <v>1</v>
      </c>
    </row>
    <row r="9" customFormat="false" ht="15" hidden="false" customHeight="true" outlineLevel="0" collapsed="false">
      <c r="A9" s="20" t="s">
        <v>127</v>
      </c>
      <c r="B9" s="22" t="n">
        <f aca="false">$B$4</f>
        <v>0.75</v>
      </c>
      <c r="C9" s="14" t="n">
        <f aca="false">$B$5</f>
        <v>1</v>
      </c>
      <c r="D9" s="21" t="n">
        <f aca="false">$B$3</f>
        <v>1.5</v>
      </c>
      <c r="E9" s="14" t="n">
        <f aca="false">$B$5</f>
        <v>1</v>
      </c>
      <c r="F9" s="14" t="n">
        <f aca="false">$B$5</f>
        <v>1</v>
      </c>
      <c r="G9" s="14" t="n">
        <f aca="false">$B$5</f>
        <v>1</v>
      </c>
    </row>
    <row r="10" customFormat="false" ht="15" hidden="false" customHeight="true" outlineLevel="0" collapsed="false">
      <c r="A10" s="20" t="s">
        <v>133</v>
      </c>
      <c r="B10" s="14" t="n">
        <f aca="false">$B$5</f>
        <v>1</v>
      </c>
      <c r="C10" s="22" t="n">
        <f aca="false">$B$4</f>
        <v>0.75</v>
      </c>
      <c r="D10" s="14" t="n">
        <f aca="false">$B$5</f>
        <v>1</v>
      </c>
      <c r="E10" s="21" t="n">
        <f aca="false">$B$3</f>
        <v>1.5</v>
      </c>
      <c r="F10" s="21" t="n">
        <f aca="false">$B$3</f>
        <v>1.5</v>
      </c>
      <c r="G10" s="14" t="n">
        <f aca="false">$B$5</f>
        <v>1</v>
      </c>
    </row>
    <row r="11" customFormat="false" ht="15" hidden="false" customHeight="true" outlineLevel="0" collapsed="false">
      <c r="A11" s="20" t="s">
        <v>128</v>
      </c>
      <c r="B11" s="21" t="n">
        <f aca="false">$B$3</f>
        <v>1.5</v>
      </c>
      <c r="C11" s="14" t="n">
        <f aca="false">$B$5</f>
        <v>1</v>
      </c>
      <c r="D11" s="22" t="n">
        <f aca="false">$B$4</f>
        <v>0.75</v>
      </c>
      <c r="E11" s="14" t="n">
        <f aca="false">$B$5</f>
        <v>1</v>
      </c>
      <c r="F11" s="14" t="n">
        <f aca="false">$B$5</f>
        <v>1</v>
      </c>
      <c r="G11" s="14" t="n">
        <f aca="false">$B$5</f>
        <v>1</v>
      </c>
    </row>
    <row r="12" customFormat="false" ht="15" hidden="false" customHeight="true" outlineLevel="0" collapsed="false">
      <c r="A12" s="20" t="s">
        <v>139</v>
      </c>
      <c r="B12" s="21" t="n">
        <f aca="false">$B$3</f>
        <v>1.5</v>
      </c>
      <c r="C12" s="14" t="n">
        <f aca="false">$B$5</f>
        <v>1</v>
      </c>
      <c r="D12" s="22" t="n">
        <f aca="false">$B$4</f>
        <v>0.75</v>
      </c>
      <c r="E12" s="14" t="n">
        <f aca="false">$B$5</f>
        <v>1</v>
      </c>
      <c r="F12" s="14" t="n">
        <f aca="false">$B$5</f>
        <v>1</v>
      </c>
      <c r="G12" s="14" t="n">
        <f aca="false">$B$5</f>
        <v>1</v>
      </c>
    </row>
    <row r="13" customFormat="false" ht="15" hidden="false" customHeight="true" outlineLevel="0" collapsed="false">
      <c r="A13" s="20" t="s">
        <v>143</v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</row>
    <row r="15" customFormat="false" ht="15" hidden="false" customHeight="true" outlineLevel="0" collapsed="false">
      <c r="A15" s="1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6"/>
    <col collapsed="false" customWidth="true" hidden="false" outlineLevel="0" max="5" min="5" style="1" width="20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156</v>
      </c>
    </row>
    <row r="2" customFormat="false" ht="15" hidden="false" customHeight="true" outlineLevel="0" collapsed="false">
      <c r="A2" s="16" t="s">
        <v>157</v>
      </c>
    </row>
    <row r="4" customFormat="false" ht="26.25" hidden="false" customHeight="true" outlineLevel="0" collapsed="false">
      <c r="A4" s="7" t="s">
        <v>158</v>
      </c>
      <c r="B4" s="7" t="s">
        <v>159</v>
      </c>
      <c r="C4" s="7" t="s">
        <v>160</v>
      </c>
      <c r="D4" s="7" t="s">
        <v>161</v>
      </c>
      <c r="E4" s="7" t="s">
        <v>162</v>
      </c>
      <c r="F4" s="7" t="s">
        <v>163</v>
      </c>
      <c r="G4" s="7" t="s">
        <v>164</v>
      </c>
    </row>
    <row r="5" customFormat="false" ht="15" hidden="false" customHeight="true" outlineLevel="0" collapsed="false">
      <c r="A5" s="11" t="n">
        <v>1</v>
      </c>
      <c r="B5" s="11" t="n">
        <v>4</v>
      </c>
      <c r="C5" s="11" t="n">
        <v>1</v>
      </c>
      <c r="D5" s="11" t="n">
        <v>0</v>
      </c>
      <c r="E5" s="11" t="n">
        <v>0</v>
      </c>
      <c r="F5" s="11" t="n">
        <v>0</v>
      </c>
      <c r="G5" s="8" t="s">
        <v>165</v>
      </c>
    </row>
    <row r="6" customFormat="false" ht="15" hidden="false" customHeight="true" outlineLevel="0" collapsed="false">
      <c r="A6" s="11" t="n">
        <v>2</v>
      </c>
      <c r="B6" s="11" t="n">
        <v>6</v>
      </c>
      <c r="C6" s="13" t="n">
        <v>1.5</v>
      </c>
      <c r="D6" s="11" t="n">
        <v>30</v>
      </c>
      <c r="E6" s="11" t="n">
        <v>10</v>
      </c>
      <c r="F6" s="11" t="n">
        <v>60</v>
      </c>
      <c r="G6" s="8" t="s">
        <v>166</v>
      </c>
    </row>
    <row r="7" customFormat="false" ht="15" hidden="false" customHeight="true" outlineLevel="0" collapsed="false">
      <c r="A7" s="11" t="n">
        <v>3</v>
      </c>
      <c r="B7" s="11" t="n">
        <v>8</v>
      </c>
      <c r="C7" s="13" t="n">
        <v>2</v>
      </c>
      <c r="D7" s="11" t="n">
        <v>60</v>
      </c>
      <c r="E7" s="11" t="n">
        <v>30</v>
      </c>
      <c r="F7" s="11" t="n">
        <v>90</v>
      </c>
      <c r="G7" s="8" t="s">
        <v>167</v>
      </c>
    </row>
    <row r="9" customFormat="false" ht="15" hidden="false" customHeight="true" outlineLevel="0" collapsed="false">
      <c r="A9" s="15" t="s">
        <v>168</v>
      </c>
      <c r="D9" s="12" t="n">
        <f aca="false">B7*C7*Ekonomi!C4</f>
        <v>96</v>
      </c>
    </row>
    <row r="11" customFormat="false" ht="15" hidden="false" customHeight="true" outlineLevel="0" collapsed="false">
      <c r="A11" s="3" t="s">
        <v>144</v>
      </c>
    </row>
    <row r="12" customFormat="false" ht="26.25" hidden="false" customHeight="true" outlineLevel="0" collapsed="false">
      <c r="A12" s="7" t="s">
        <v>158</v>
      </c>
      <c r="B12" s="7" t="s">
        <v>112</v>
      </c>
      <c r="C12" s="7" t="s">
        <v>161</v>
      </c>
      <c r="D12" s="7" t="s">
        <v>162</v>
      </c>
      <c r="E12" s="7" t="s">
        <v>163</v>
      </c>
      <c r="F12" s="7" t="s">
        <v>21</v>
      </c>
    </row>
    <row r="13" customFormat="false" ht="15" hidden="false" customHeight="true" outlineLevel="0" collapsed="false">
      <c r="A13" s="11" t="n">
        <v>1</v>
      </c>
      <c r="B13" s="13" t="n">
        <v>500</v>
      </c>
      <c r="C13" s="11" t="n">
        <v>0</v>
      </c>
      <c r="D13" s="11" t="n">
        <v>0</v>
      </c>
      <c r="E13" s="11" t="n">
        <v>0</v>
      </c>
      <c r="F13" s="8" t="s">
        <v>169</v>
      </c>
    </row>
    <row r="14" customFormat="false" ht="15" hidden="false" customHeight="true" outlineLevel="0" collapsed="false">
      <c r="A14" s="11" t="n">
        <v>2</v>
      </c>
      <c r="B14" s="13" t="n">
        <v>1000</v>
      </c>
      <c r="C14" s="11" t="n">
        <v>40</v>
      </c>
      <c r="D14" s="11" t="n">
        <v>20</v>
      </c>
      <c r="E14" s="11" t="n">
        <v>90</v>
      </c>
      <c r="F14" s="8"/>
    </row>
    <row r="15" customFormat="false" ht="15" hidden="false" customHeight="true" outlineLevel="0" collapsed="false">
      <c r="A15" s="11" t="n">
        <v>3</v>
      </c>
      <c r="B15" s="13" t="n">
        <v>1800</v>
      </c>
      <c r="C15" s="11" t="n">
        <v>80</v>
      </c>
      <c r="D15" s="11" t="n">
        <v>50</v>
      </c>
      <c r="E15" s="11" t="n">
        <v>120</v>
      </c>
      <c r="F15" s="8"/>
    </row>
    <row r="17" customFormat="false" ht="15" hidden="false" customHeight="true" outlineLevel="0" collapsed="false">
      <c r="A17" s="16" t="s">
        <v>170</v>
      </c>
    </row>
    <row r="18" customFormat="false" ht="15" hidden="false" customHeight="true" outlineLevel="0" collapsed="false">
      <c r="A18" s="15" t="s">
        <v>171</v>
      </c>
      <c r="E18" s="24" t="n">
        <f aca="false">B15/(Birlikler!J10/Birlikler!K10)</f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172</v>
      </c>
    </row>
    <row r="3" customFormat="false" ht="15" hidden="false" customHeight="true" outlineLevel="0" collapsed="false">
      <c r="A3" s="3" t="s">
        <v>173</v>
      </c>
    </row>
    <row r="4" customFormat="false" ht="15" hidden="false" customHeight="true" outlineLevel="0" collapsed="false">
      <c r="A4" s="7" t="s">
        <v>174</v>
      </c>
      <c r="B4" s="7" t="s">
        <v>175</v>
      </c>
      <c r="C4" s="7" t="s">
        <v>176</v>
      </c>
      <c r="D4" s="7" t="s">
        <v>177</v>
      </c>
      <c r="E4" s="7" t="s">
        <v>178</v>
      </c>
      <c r="F4" s="7" t="s">
        <v>179</v>
      </c>
      <c r="G4" s="7" t="s">
        <v>21</v>
      </c>
    </row>
    <row r="5" customFormat="false" ht="15" hidden="false" customHeight="true" outlineLevel="0" collapsed="false">
      <c r="A5" s="8" t="s">
        <v>180</v>
      </c>
      <c r="B5" s="8" t="s">
        <v>181</v>
      </c>
      <c r="C5" s="11" t="n">
        <v>20</v>
      </c>
      <c r="D5" s="11" t="n">
        <v>40</v>
      </c>
      <c r="E5" s="11" t="n">
        <v>0</v>
      </c>
      <c r="F5" s="11" t="n">
        <v>0</v>
      </c>
      <c r="G5" s="8" t="s">
        <v>182</v>
      </c>
    </row>
    <row r="6" customFormat="false" ht="15" hidden="false" customHeight="true" outlineLevel="0" collapsed="false">
      <c r="A6" s="8" t="s">
        <v>183</v>
      </c>
      <c r="B6" s="8" t="s">
        <v>184</v>
      </c>
      <c r="C6" s="11" t="n">
        <v>40</v>
      </c>
      <c r="D6" s="11" t="n">
        <v>80</v>
      </c>
      <c r="E6" s="11" t="n">
        <v>2</v>
      </c>
      <c r="F6" s="11" t="n">
        <v>4</v>
      </c>
      <c r="G6" s="8" t="s">
        <v>185</v>
      </c>
    </row>
    <row r="7" customFormat="false" ht="15" hidden="false" customHeight="true" outlineLevel="0" collapsed="false">
      <c r="A7" s="8" t="s">
        <v>186</v>
      </c>
      <c r="B7" s="8" t="s">
        <v>187</v>
      </c>
      <c r="C7" s="11" t="n">
        <v>60</v>
      </c>
      <c r="D7" s="11" t="n">
        <v>100</v>
      </c>
      <c r="E7" s="11" t="n">
        <v>0</v>
      </c>
      <c r="F7" s="11" t="n">
        <v>0</v>
      </c>
      <c r="G7" s="8" t="s">
        <v>188</v>
      </c>
    </row>
    <row r="8" customFormat="false" ht="15" hidden="false" customHeight="true" outlineLevel="0" collapsed="false">
      <c r="A8" s="16" t="s">
        <v>189</v>
      </c>
    </row>
    <row r="10" customFormat="false" ht="15" hidden="false" customHeight="true" outlineLevel="0" collapsed="false">
      <c r="A10" s="3" t="s">
        <v>190</v>
      </c>
    </row>
    <row r="11" customFormat="false" ht="26.25" hidden="false" customHeight="true" outlineLevel="0" collapsed="false">
      <c r="A11" s="7" t="s">
        <v>108</v>
      </c>
      <c r="B11" s="7" t="s">
        <v>191</v>
      </c>
      <c r="C11" s="7" t="s">
        <v>192</v>
      </c>
      <c r="D11" s="7" t="s">
        <v>193</v>
      </c>
      <c r="E11" s="7" t="s">
        <v>21</v>
      </c>
    </row>
    <row r="12" customFormat="false" ht="15" hidden="false" customHeight="true" outlineLevel="0" collapsed="false">
      <c r="A12" s="8" t="s">
        <v>123</v>
      </c>
      <c r="B12" s="13" t="n">
        <v>25</v>
      </c>
      <c r="C12" s="25" t="n">
        <f aca="false">Ekonomi!$B$13</f>
        <v>1.5</v>
      </c>
      <c r="D12" s="8" t="s">
        <v>194</v>
      </c>
      <c r="E12" s="8" t="s">
        <v>195</v>
      </c>
    </row>
    <row r="13" customFormat="false" ht="15" hidden="false" customHeight="true" outlineLevel="0" collapsed="false">
      <c r="A13" s="8" t="s">
        <v>127</v>
      </c>
      <c r="B13" s="13" t="n">
        <v>25</v>
      </c>
      <c r="C13" s="25" t="n">
        <f aca="false">Ekonomi!$B$13</f>
        <v>1.5</v>
      </c>
      <c r="D13" s="8" t="s">
        <v>194</v>
      </c>
      <c r="E13" s="8" t="s">
        <v>195</v>
      </c>
    </row>
    <row r="14" customFormat="false" ht="15" hidden="false" customHeight="true" outlineLevel="0" collapsed="false">
      <c r="A14" s="8" t="s">
        <v>133</v>
      </c>
      <c r="B14" s="13" t="n">
        <v>20</v>
      </c>
      <c r="C14" s="25" t="n">
        <f aca="false">Ekonomi!$B$13</f>
        <v>1.5</v>
      </c>
      <c r="D14" s="8" t="s">
        <v>194</v>
      </c>
      <c r="E14" s="8" t="s">
        <v>195</v>
      </c>
    </row>
    <row r="15" customFormat="false" ht="15" hidden="false" customHeight="true" outlineLevel="0" collapsed="false">
      <c r="A15" s="8" t="s">
        <v>128</v>
      </c>
      <c r="B15" s="13" t="n">
        <v>30</v>
      </c>
      <c r="C15" s="25" t="n">
        <f aca="false">Ekonomi!$B$13</f>
        <v>1.5</v>
      </c>
      <c r="D15" s="8" t="s">
        <v>194</v>
      </c>
      <c r="E15" s="8" t="s">
        <v>195</v>
      </c>
    </row>
    <row r="17" customFormat="false" ht="15" hidden="false" customHeight="true" outlineLevel="0" collapsed="false">
      <c r="A17" s="3" t="s">
        <v>196</v>
      </c>
    </row>
    <row r="18" customFormat="false" ht="15" hidden="false" customHeight="true" outlineLevel="0" collapsed="false">
      <c r="A18" s="7" t="s">
        <v>197</v>
      </c>
      <c r="B18" s="7" t="s">
        <v>198</v>
      </c>
      <c r="C18" s="7" t="s">
        <v>199</v>
      </c>
      <c r="D18" s="7" t="s">
        <v>21</v>
      </c>
    </row>
    <row r="19" customFormat="false" ht="15" hidden="false" customHeight="true" outlineLevel="0" collapsed="false">
      <c r="A19" s="8" t="s">
        <v>200</v>
      </c>
      <c r="B19" s="8" t="s">
        <v>201</v>
      </c>
      <c r="C19" s="11" t="n">
        <v>60</v>
      </c>
      <c r="D19" s="8" t="s">
        <v>202</v>
      </c>
    </row>
    <row r="20" customFormat="false" ht="15" hidden="false" customHeight="true" outlineLevel="0" collapsed="false">
      <c r="A20" s="8" t="s">
        <v>203</v>
      </c>
      <c r="B20" s="8" t="s">
        <v>204</v>
      </c>
      <c r="C20" s="11" t="n">
        <v>0</v>
      </c>
      <c r="D20" s="8" t="s">
        <v>205</v>
      </c>
    </row>
    <row r="21" customFormat="false" ht="15" hidden="false" customHeight="true" outlineLevel="0" collapsed="false">
      <c r="A21" s="8" t="s">
        <v>206</v>
      </c>
      <c r="B21" s="8" t="s">
        <v>207</v>
      </c>
      <c r="C21" s="11" t="n">
        <v>90</v>
      </c>
      <c r="D21" s="8"/>
    </row>
    <row r="22" customFormat="false" ht="15" hidden="false" customHeight="true" outlineLevel="0" collapsed="false">
      <c r="A22" s="8" t="s">
        <v>208</v>
      </c>
      <c r="B22" s="8" t="s">
        <v>209</v>
      </c>
      <c r="C22" s="11" t="n">
        <v>0</v>
      </c>
      <c r="D22" s="8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2026-10-23T16:15:37Z</dcterms:created>
  <dc:creator>openpyxl</dc:creator>
  <dc:description/>
  <dc:language>en-US</dc:language>
  <cp:lastModifiedBy/>
  <dcterms:modified xsi:type="dcterms:W3CDTF">2026-10-23T16:40:50Z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